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6959ec6ed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家模型" sheetId="1" r:id="Rb561758abe974800"/>
    <x:sheet xmlns:r="http://schemas.openxmlformats.org/officeDocument/2006/relationships" name="个人服务" sheetId="2" r:id="Ra779981cf1e243b5"/>
    <x:sheet xmlns:r="http://schemas.openxmlformats.org/officeDocument/2006/relationships" name="市场边界" sheetId="3" r:id="R7c089ae7b1794224"/>
    <x:sheet xmlns:r="http://schemas.openxmlformats.org/officeDocument/2006/relationships" name="敏感性" sheetId="4" r:id="R333c2059c0cb40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%"/>
    <x:numFmt numFmtId="202" formatCode="#,##0.00"/>
  </x:numFmts>
  <x:fonts count="4">
    <x:font>
      <x:sz val="11"/>
      <x:name val="Carlito"/>
    </x:font>
    <x:font>
      <x:sz val="11"/>
      <x:name val="PingFang SC"/>
    </x:font>
    <x:font>
      <x:sz val="11"/>
      <x:color rgb="FF2563EB"/>
      <x:name val="PingFang SC"/>
    </x:font>
    <x:font>
      <x:b/>
      <x:sz val="11"/>
      <x:color rgb="FFFFFFFF"/>
      <x:name val="PingFang SC"/>
    </x:font>
  </x:fonts>
  <x:fills count="3">
    <x:fill>
      <x:patternFill patternType="none"/>
    </x:fill>
    <x:fill>
      <x:patternFill patternType="gray125"/>
    </x:fill>
    <x:fill>
      <x:patternFill patternType="solid">
        <x:fgColor rgb="FF153F3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2" fontId="2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76313596f640f7" /><Relationship Type="http://schemas.openxmlformats.org/officeDocument/2006/relationships/theme" Target="/xl/theme/theme1.xml" Id="R2f321c4341734775" /><Relationship Type="http://schemas.openxmlformats.org/officeDocument/2006/relationships/sharedStrings" Target="/xl/sharedStrings.xml" Id="R2689decc6f464f92" /><Relationship Type="http://schemas.openxmlformats.org/officeDocument/2006/relationships/worksheet" Target="/xl/worksheets/sheet1.xml" Id="Rb561758abe974800" /><Relationship Type="http://schemas.openxmlformats.org/officeDocument/2006/relationships/worksheet" Target="/xl/worksheets/sheet2.xml" Id="Ra779981cf1e243b5" /><Relationship Type="http://schemas.openxmlformats.org/officeDocument/2006/relationships/worksheet" Target="/xl/worksheets/sheet3.xml" Id="R7c089ae7b1794224" /><Relationship Type="http://schemas.openxmlformats.org/officeDocument/2006/relationships/worksheet" Target="/xl/worksheets/sheet4.xml" Id="R333c2059c0cb40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40" hidden="0" customWidth="1"/>
    <x:col min="6" max="6" width="40" hidden="0" customWidth="1"/>
  </x:cols>
  <x:sheetData>
    <x:row r="1" ht="25" customHeight="1">
      <x:c r="A1" s="7" t="str">
        <x:v>商家经济模型 · GBP/年</x:v>
      </x:c>
      <x:c r="B1" s="7" t="str">
        <x:v>小试点</x:v>
      </x:c>
      <x:c r="C1" s="7" t="str">
        <x:v>局部基准</x:v>
      </x:c>
      <x:c r="D1" s="7" t="str">
        <x:v>城市扩展</x:v>
      </x:c>
      <x:c r="E1" s="1"/>
      <x:c r="F1" s="1"/>
    </x:row>
    <x:row r="2" ht="25" customHeight="1">
      <x:c r="A2" s="1" t="str">
        <x:v>全部商业输入为假设；稳定年，非爬坡预测</x:v>
      </x:c>
      <x:c r="B2" s="1"/>
      <x:c r="C2" s="1"/>
      <x:c r="D2" s="1"/>
      <x:c r="E2" s="1"/>
      <x:c r="F2" s="1"/>
    </x:row>
    <x:row r="3" ht="25" customHeight="1">
      <x:c r="A3" s="1"/>
      <x:c r="B3" s="1"/>
      <x:c r="C3" s="1"/>
      <x:c r="D3" s="1"/>
      <x:c r="E3" s="1"/>
      <x:c r="F3" s="1"/>
    </x:row>
    <x:row r="4" ht="25" customHeight="1">
      <x:c r="A4" s="1" t="str">
        <x:v>付费活动商家数</x:v>
      </x:c>
      <x:c r="B4" s="8" t="n">
        <x:v>10</x:v>
      </x:c>
      <x:c r="C4" s="8" t="n">
        <x:v>30</x:v>
      </x:c>
      <x:c r="D4" s="8" t="n">
        <x:v>300</x:v>
      </x:c>
      <x:c r="E4" s="1"/>
      <x:c r="F4" s="1"/>
    </x:row>
    <x:row r="5" ht="25" customHeight="1">
      <x:c r="A5" s="1" t="str">
        <x:v>每商家每月活动</x:v>
      </x:c>
      <x:c r="B5" s="8" t="n">
        <x:v>1</x:v>
      </x:c>
      <x:c r="C5" s="8" t="n">
        <x:v>2</x:v>
      </x:c>
      <x:c r="D5" s="8" t="n">
        <x:v>4</x:v>
      </x:c>
      <x:c r="E5" s="1"/>
      <x:c r="F5" s="1"/>
    </x:row>
    <x:row r="6" ht="25" customHeight="1">
      <x:c r="A6" s="1" t="str">
        <x:v>每场可收费到店</x:v>
      </x:c>
      <x:c r="B6" s="8" t="n">
        <x:v>8</x:v>
      </x:c>
      <x:c r="C6" s="8" t="n">
        <x:v>12</x:v>
      </x:c>
      <x:c r="D6" s="8" t="n">
        <x:v>20</x:v>
      </x:c>
      <x:c r="E6" s="1"/>
      <x:c r="F6" s="1"/>
    </x:row>
    <x:row r="7" ht="25" customHeight="1">
      <x:c r="A7" s="1" t="str">
        <x:v>每到店费 GBP</x:v>
      </x:c>
      <x:c r="B7" s="8" t="n">
        <x:v>3</x:v>
      </x:c>
      <x:c r="C7" s="8" t="n">
        <x:v>4</x:v>
      </x:c>
      <x:c r="D7" s="8" t="n">
        <x:v>5</x:v>
      </x:c>
      <x:c r="E7" s="1"/>
      <x:c r="F7" s="1"/>
    </x:row>
    <x:row r="8" ht="25" customHeight="1">
      <x:c r="A8" s="1" t="str">
        <x:v>每场人工成本 GBP</x:v>
      </x:c>
      <x:c r="B8" s="8" t="n">
        <x:v>30</x:v>
      </x:c>
      <x:c r="C8" s="8" t="n">
        <x:v>25</x:v>
      </x:c>
      <x:c r="D8" s="8" t="n">
        <x:v>20</x:v>
      </x:c>
      <x:c r="E8" s="1"/>
      <x:c r="F8" s="1"/>
    </x:row>
    <x:row r="9" ht="25" customHeight="1">
      <x:c r="A9" s="1" t="str">
        <x:v>每到店其他成本 GBP</x:v>
      </x:c>
      <x:c r="B9" s="8" t="n">
        <x:v>0.75</x:v>
      </x:c>
      <x:c r="C9" s="8" t="n">
        <x:v>0.6</x:v>
      </x:c>
      <x:c r="D9" s="8" t="n">
        <x:v>0.5</x:v>
      </x:c>
      <x:c r="E9" s="1"/>
      <x:c r="F9" s="1"/>
    </x:row>
    <x:row r="10" ht="25" customHeight="1">
      <x:c r="A10" s="1" t="str">
        <x:v>年度固定成本 GBP</x:v>
      </x:c>
      <x:c r="B10" s="8" t="n">
        <x:v>12000</x:v>
      </x:c>
      <x:c r="C10" s="8" t="n">
        <x:v>30000</x:v>
      </x:c>
      <x:c r="D10" s="8" t="n">
        <x:v>240000</x:v>
      </x:c>
      <x:c r="E10" s="1"/>
      <x:c r="F10" s="1"/>
    </x:row>
    <x:row r="11" ht="25" customHeight="1">
      <x:c r="A11" s="1" t="str">
        <x:v>单商家获客成本 GBP</x:v>
      </x:c>
      <x:c r="B11" s="8" t="n">
        <x:v>150</x:v>
      </x:c>
      <x:c r="C11" s="8" t="n">
        <x:v>200</x:v>
      </x:c>
      <x:c r="D11" s="8" t="n">
        <x:v>300</x:v>
      </x:c>
      <x:c r="E11" s="1"/>
      <x:c r="F11" s="1"/>
    </x:row>
    <x:row r="12" ht="25" customHeight="1">
      <x:c r="A12" s="1" t="str">
        <x:v>商家获客摊销年数</x:v>
      </x:c>
      <x:c r="B12" s="8" t="n">
        <x:v>1</x:v>
      </x:c>
      <x:c r="C12" s="8" t="n">
        <x:v>1</x:v>
      </x:c>
      <x:c r="D12" s="8" t="n">
        <x:v>1</x:v>
      </x:c>
      <x:c r="E12" s="1"/>
      <x:c r="F12" s="1"/>
    </x:row>
    <x:row r="13" ht="25" customHeight="1">
      <x:c r="A13" s="1" t="str">
        <x:v>年付费渠道新增用户</x:v>
      </x:c>
      <x:c r="B13" s="8" t="n">
        <x:v>200</x:v>
      </x:c>
      <x:c r="C13" s="8" t="n">
        <x:v>1000</x:v>
      </x:c>
      <x:c r="D13" s="8" t="n">
        <x:v>20000</x:v>
      </x:c>
      <x:c r="E13" s="1"/>
      <x:c r="F13" s="1"/>
    </x:row>
    <x:row r="14" ht="25" customHeight="1">
      <x:c r="A14" s="1" t="str">
        <x:v>单用户获客成本 GBP</x:v>
      </x:c>
      <x:c r="B14" s="8" t="n">
        <x:v>5</x:v>
      </x:c>
      <x:c r="C14" s="8" t="n">
        <x:v>3</x:v>
      </x:c>
      <x:c r="D14" s="8" t="n">
        <x:v>15</x:v>
      </x:c>
      <x:c r="E14" s="1"/>
      <x:c r="F14" s="1"/>
    </x:row>
    <x:row r="15" ht="25" customHeight="1">
      <x:c r="A15" s="1"/>
      <x:c r="B15" s="9"/>
      <x:c r="C15" s="9"/>
      <x:c r="D15" s="9"/>
      <x:c r="E15" s="1"/>
      <x:c r="F15" s="1"/>
    </x:row>
    <x:row r="16" ht="25" customHeight="1">
      <x:c r="A16" s="1"/>
      <x:c r="B16" s="9"/>
      <x:c r="C16" s="9"/>
      <x:c r="D16" s="9"/>
      <x:c r="E16" s="1"/>
      <x:c r="F16" s="1"/>
    </x:row>
    <x:row r="17" ht="25" customHeight="1">
      <x:c r="A17" s="1" t="str">
        <x:v>年活动场次</x:v>
      </x:c>
      <x:c r="B17" s="9" t="n">
        <x:f>B4*B5*12</x:f>
        <x:v>120</x:v>
      </x:c>
      <x:c r="C17" s="9" t="n">
        <x:f>C4*C5*12</x:f>
        <x:v>720</x:v>
      </x:c>
      <x:c r="D17" s="9" t="n">
        <x:f>D4*D5*12</x:f>
        <x:v>14400</x:v>
      </x:c>
      <x:c r="E17" s="1"/>
      <x:c r="F17" s="1"/>
    </x:row>
    <x:row r="18" ht="25" customHeight="1">
      <x:c r="A18" s="1" t="str">
        <x:v>年可收费到店人次</x:v>
      </x:c>
      <x:c r="B18" s="9" t="n">
        <x:f>B17*B6</x:f>
        <x:v>960</x:v>
      </x:c>
      <x:c r="C18" s="9" t="n">
        <x:f>C17*C6</x:f>
        <x:v>8640</x:v>
      </x:c>
      <x:c r="D18" s="9" t="n">
        <x:f>D17*D6</x:f>
        <x:v>288000</x:v>
      </x:c>
      <x:c r="E18" s="1"/>
      <x:c r="F18" s="1"/>
    </x:row>
    <x:row r="19" ht="25" customHeight="1">
      <x:c r="A19" s="1" t="str">
        <x:v>年平台收入 GBP</x:v>
      </x:c>
      <x:c r="B19" s="9" t="n">
        <x:f>B18*B7</x:f>
        <x:v>2880</x:v>
      </x:c>
      <x:c r="C19" s="9" t="n">
        <x:f>C18*C7</x:f>
        <x:v>34560</x:v>
      </x:c>
      <x:c r="D19" s="9" t="n">
        <x:f>D18*D7</x:f>
        <x:v>1440000</x:v>
      </x:c>
      <x:c r="E19" s="1"/>
      <x:c r="F19" s="1"/>
    </x:row>
    <x:row r="20" ht="25" customHeight="1">
      <x:c r="A20" s="1" t="str">
        <x:v>年变动服务成本 GBP</x:v>
      </x:c>
      <x:c r="B20" s="9" t="n">
        <x:f>B17*B8+B18*B9</x:f>
        <x:v>4320</x:v>
      </x:c>
      <x:c r="C20" s="9" t="n">
        <x:f>C17*C8+C18*C9</x:f>
        <x:v>23184</x:v>
      </x:c>
      <x:c r="D20" s="9" t="n">
        <x:f>D17*D8+D18*D9</x:f>
        <x:v>432000</x:v>
      </x:c>
      <x:c r="E20" s="1"/>
      <x:c r="F20" s="1"/>
    </x:row>
    <x:row r="21" ht="25" customHeight="1">
      <x:c r="A21" s="1" t="str">
        <x:v>年获客成本 GBP</x:v>
      </x:c>
      <x:c r="B21" s="9" t="n">
        <x:f>B4*B11/B12+B13*B14</x:f>
        <x:v>2500</x:v>
      </x:c>
      <x:c r="C21" s="9" t="n">
        <x:f>C4*C11/C12+C13*C14</x:f>
        <x:v>9000</x:v>
      </x:c>
      <x:c r="D21" s="9" t="n">
        <x:f>D4*D11/D12+D13*D14</x:f>
        <x:v>390000</x:v>
      </x:c>
      <x:c r="E21" s="1"/>
      <x:c r="F21" s="1"/>
    </x:row>
    <x:row r="22" ht="25" customHeight="1">
      <x:c r="A22" s="1" t="str">
        <x:v>获客前经营贡献 GBP</x:v>
      </x:c>
      <x:c r="B22" s="9" t="n">
        <x:f>B19-B20-B10</x:f>
        <x:v>-13440</x:v>
      </x:c>
      <x:c r="C22" s="9" t="n">
        <x:f>C19-C20-C10</x:f>
        <x:v>-18624</x:v>
      </x:c>
      <x:c r="D22" s="9" t="n">
        <x:f>D19-D20-D10</x:f>
        <x:v>768000</x:v>
      </x:c>
      <x:c r="E22" s="1"/>
      <x:c r="F22" s="1"/>
    </x:row>
    <x:row r="23" ht="25" customHeight="1">
      <x:c r="A23" s="1" t="str">
        <x:v>获客后经营贡献 GBP</x:v>
      </x:c>
      <x:c r="B23" s="9" t="n">
        <x:f>B22-B21</x:f>
        <x:v>-15940</x:v>
      </x:c>
      <x:c r="C23" s="9" t="n">
        <x:f>C22-C21</x:f>
        <x:v>-27624</x:v>
      </x:c>
      <x:c r="D23" s="9" t="n">
        <x:f>D22-D21</x:f>
        <x:v>378000</x:v>
      </x:c>
      <x:c r="E23" s="1"/>
      <x:c r="F23" s="1"/>
    </x:row>
    <x:row r="24" ht="25" customHeight="1">
      <x:c r="A24" s="1" t="str">
        <x:v>每场贡献 GBP</x:v>
      </x:c>
      <x:c r="B24" s="9" t="n">
        <x:f>B6*(B7-B9)-B8</x:f>
        <x:v>-12</x:v>
      </x:c>
      <x:c r="C24" s="9" t="n">
        <x:f>C6*(C7-C9)-C8</x:f>
        <x:v>15.799999999999997</x:v>
      </x:c>
      <x:c r="D24" s="9" t="n">
        <x:f>D6*(D7-D9)-D8</x:f>
        <x:v>70</x:v>
      </x:c>
      <x:c r="E24" s="1"/>
      <x:c r="F24" s="1"/>
    </x:row>
    <x:row r="25" ht="25" customHeight="1">
      <x:c r="A25" s="1" t="str">
        <x:v>覆盖固定及获客所需年场次</x:v>
      </x:c>
      <x:c r="B25" s="9" t="str">
        <x:f>IF(B24&gt;0,(B10+B21)/B24,"单场亏损")</x:f>
        <x:v>单场亏损</x:v>
      </x:c>
      <x:c r="C25" s="9" t="n">
        <x:f>IF(C24&gt;0,(C10+C21)/C24,"单场亏损")</x:f>
        <x:v>2468.354430379747</x:v>
      </x:c>
      <x:c r="D25" s="9" t="n">
        <x:f>IF(D24&gt;0,(D10+D21)/D24,"单场亏损")</x:f>
        <x:v>9000</x:v>
      </x:c>
      <x:c r="E25" s="1"/>
      <x:c r="F25" s="1"/>
    </x:row>
    <x:row r="26" ht="25" customHeight="1">
      <x:c r="A26" s="1"/>
      <x:c r="B26" s="1"/>
      <x:c r="C26" s="1"/>
      <x:c r="D26" s="1"/>
      <x:c r="E26" s="1"/>
      <x:c r="F26" s="1"/>
    </x:row>
    <x:row r="27" ht="25" customHeight="1">
      <x:c r="A27" s="1"/>
      <x:c r="B27" s="1"/>
      <x:c r="C27" s="1"/>
      <x:c r="D27" s="1"/>
      <x:c r="E27" s="1"/>
      <x:c r="F27" s="1"/>
    </x:row>
    <x:row r="28" ht="25" customHeight="1">
      <x:c r="A28" s="1" t="str">
        <x:v>边界</x:v>
      </x:c>
      <x:c r="B28" s="1" t="str">
        <x:v>不含融资、税费、爬坡现金流</x:v>
      </x:c>
      <x:c r="C28" s="1"/>
      <x:c r="D28" s="1"/>
      <x:c r="E28" s="1"/>
      <x:c r="F28" s="1"/>
    </x:row>
    <x:row r="29" ht="25" customHeight="1">
      <x:c r="A29" s="1" t="str">
        <x:v>全部情景参数</x:v>
      </x:c>
      <x:c r="B29" s="1" t="str">
        <x:v>作者假设，不是竞品经营数据</x:v>
      </x:c>
      <x:c r="C29" s="1"/>
      <x:c r="D29" s="1"/>
      <x:c r="E29" s="1"/>
      <x:c r="F29" s="1"/>
    </x:row>
    <x:row r="30" ht="25" customHeight="1">
      <x:c r="A30" s="1" t="str">
        <x:v>222 官方定价参照</x:v>
      </x:c>
      <x:c r="B30" s="1" t="str">
        <x:v>餐厅 $3/人；非英国费率</x:v>
      </x:c>
      <x:c r="C30" s="1"/>
      <x:c r="D30" s="1"/>
      <x:c r="E30" s="1"/>
      <x:c r="F30" s="1"/>
    </x:row>
    <x:row r="31" ht="25" customHeight="1">
      <x:c r="A31" s="1" t="str">
        <x:v>来源</x:v>
      </x:c>
      <x:c r="B31" s="1" t="str">
        <x:v>https://partners.222.place/</x:v>
      </x:c>
      <x:c r="C31" s="1"/>
      <x:c r="D31" s="1"/>
      <x:c r="E31" s="1"/>
      <x:c r="F31" s="1"/>
    </x:row>
    <x:row r="32" ht="25" customHeight="1">
      <x:c r="A32" s="1"/>
      <x:c r="B32" s="1"/>
      <x:c r="C32" s="1"/>
      <x:c r="D32" s="1"/>
      <x:c r="E32" s="1"/>
      <x:c r="F32" s="1"/>
    </x:row>
    <x:row r="33" ht="25" customHeight="1">
      <x:c r="A33" s="1"/>
      <x:c r="B33" s="1"/>
      <x:c r="C33" s="1"/>
      <x:c r="D33" s="1"/>
      <x:c r="E33" s="1"/>
      <x:c r="F33" s="1"/>
    </x:row>
    <x:row r="34" ht="25" customHeight="1">
      <x:c r="A34" s="1"/>
      <x:c r="B34" s="1"/>
      <x:c r="C34" s="1"/>
      <x:c r="D34" s="1"/>
      <x:c r="E34" s="1"/>
      <x:c r="F34" s="1"/>
    </x:row>
    <x:row r="35" ht="25" customHeight="1">
      <x:c r="A35" s="1"/>
      <x:c r="B35" s="1"/>
      <x:c r="C35" s="1"/>
      <x:c r="D35" s="1"/>
      <x:c r="E35" s="1"/>
      <x:c r="F35" s="1"/>
    </x:row>
    <x:row r="36" ht="25" customHeight="1">
      <x:c r="A36" s="1"/>
      <x:c r="B36" s="1"/>
      <x:c r="C36" s="1"/>
      <x:c r="D36" s="1"/>
      <x:c r="E36" s="1"/>
      <x:c r="F36" s="1"/>
    </x:row>
    <x:row r="37" ht="25" customHeight="1">
      <x:c r="A37" s="1"/>
      <x:c r="B37" s="1"/>
      <x:c r="C37" s="1"/>
      <x:c r="D37" s="1"/>
      <x:c r="E37" s="1"/>
      <x:c r="F37" s="1"/>
    </x:row>
    <x:row r="38" ht="25" customHeight="1">
      <x:c r="A38" s="1"/>
      <x:c r="B38" s="1"/>
      <x:c r="C38" s="1"/>
      <x:c r="D38" s="1"/>
      <x:c r="E38" s="1"/>
      <x:c r="F38" s="1"/>
    </x:row>
    <x:row r="39" ht="25" customHeight="1">
      <x:c r="A39" s="1"/>
      <x:c r="B39" s="1"/>
      <x:c r="C39" s="1"/>
      <x:c r="D39" s="1"/>
      <x:c r="E39" s="1"/>
      <x:c r="F39" s="1"/>
    </x:row>
    <x:row r="40" ht="25" customHeight="1">
      <x:c r="A40" s="1"/>
      <x:c r="B40" s="1"/>
      <x:c r="C40" s="1"/>
      <x:c r="D40" s="1"/>
      <x:c r="E40" s="1"/>
      <x:c r="F40" s="1"/>
    </x:row>
    <x:row r="41" ht="25" customHeight="1">
      <x:c r="A41" s="1"/>
      <x:c r="B41" s="1"/>
      <x:c r="C41" s="1"/>
      <x:c r="D41" s="1"/>
      <x:c r="E41" s="1"/>
      <x:c r="F41" s="1"/>
    </x:row>
    <x:row r="42" ht="25" customHeight="1">
      <x:c r="A42" s="1"/>
      <x:c r="B42" s="1"/>
      <x:c r="C42" s="1"/>
      <x:c r="D42" s="1"/>
      <x:c r="E42" s="1"/>
      <x:c r="F42" s="1"/>
    </x:row>
    <x:row r="43" ht="25" customHeight="1">
      <x:c r="A43" s="1"/>
      <x:c r="B43" s="1"/>
      <x:c r="C43" s="1"/>
      <x:c r="D43" s="1"/>
      <x:c r="E43" s="1"/>
      <x:c r="F43" s="1"/>
    </x:row>
    <x:row r="44" ht="25" customHeight="1">
      <x:c r="A44" s="1"/>
      <x:c r="B44" s="1"/>
      <x:c r="C44" s="1"/>
      <x:c r="D44" s="1"/>
      <x:c r="E44" s="1"/>
      <x:c r="F44" s="1"/>
    </x:row>
    <x:row r="45" ht="25" customHeight="1">
      <x:c r="A45" s="1"/>
      <x:c r="B45" s="1"/>
      <x:c r="C45" s="1"/>
      <x:c r="D45" s="1"/>
      <x:c r="E45" s="1"/>
      <x:c r="F4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40" hidden="0" customWidth="1"/>
    <x:col min="6" max="6" width="40" hidden="0" customWidth="1"/>
  </x:cols>
  <x:sheetData>
    <x:row r="1" ht="25" customHeight="1">
      <x:c r="A1" s="7" t="str">
        <x:v>个人服务 · GBP/月</x:v>
      </x:c>
      <x:c r="B1" s="7" t="str">
        <x:v>输入/输出</x:v>
      </x:c>
      <x:c r="C1" s="7" t="str">
        <x:v>所有输入为假设</x:v>
      </x:c>
      <x:c r="D1" s="7"/>
      <x:c r="E1" s="1"/>
      <x:c r="F1" s="1"/>
    </x:row>
    <x:row r="2" ht="25" customHeight="1">
      <x:c r="A2" s="1"/>
      <x:c r="B2" s="1"/>
      <x:c r="C2" s="1"/>
      <x:c r="D2" s="1"/>
      <x:c r="E2" s="1"/>
      <x:c r="F2" s="1"/>
    </x:row>
    <x:row r="3" ht="25" customHeight="1">
      <x:c r="A3" s="1"/>
      <x:c r="B3" s="1"/>
      <x:c r="C3" s="1"/>
      <x:c r="D3" s="1"/>
      <x:c r="E3" s="1"/>
      <x:c r="F3" s="1"/>
    </x:row>
    <x:row r="4" ht="25" customHeight="1">
      <x:c r="A4" s="1" t="str">
        <x:v>活跃用户</x:v>
      </x:c>
      <x:c r="B4" s="8" t="n">
        <x:v>1000</x:v>
      </x:c>
      <x:c r="C4" s="9"/>
      <x:c r="D4" s="9"/>
      <x:c r="E4" s="1"/>
      <x:c r="F4" s="1"/>
    </x:row>
    <x:row r="5" ht="25" customHeight="1">
      <x:c r="A5" s="1" t="str">
        <x:v>付费比例</x:v>
      </x:c>
      <x:c r="B5" s="3" t="n">
        <x:v>0.03</x:v>
      </x:c>
      <x:c r="C5" s="9"/>
      <x:c r="D5" s="9"/>
      <x:c r="E5" s="1"/>
      <x:c r="F5" s="1"/>
    </x:row>
    <x:row r="6" ht="25" customHeight="1">
      <x:c r="A6" s="1" t="str">
        <x:v>月包价格</x:v>
      </x:c>
      <x:c r="B6" s="8" t="n">
        <x:v>10</x:v>
      </x:c>
      <x:c r="C6" s="9"/>
      <x:c r="D6" s="9"/>
      <x:c r="E6" s="1"/>
      <x:c r="F6" s="1"/>
    </x:row>
    <x:row r="7" ht="25" customHeight="1">
      <x:c r="A7" s="1" t="str">
        <x:v>每付费用户成本</x:v>
      </x:c>
      <x:c r="B7" s="8" t="n">
        <x:v>3</x:v>
      </x:c>
      <x:c r="C7" s="9"/>
      <x:c r="D7" s="9"/>
      <x:c r="E7" s="1"/>
      <x:c r="F7" s="1"/>
    </x:row>
    <x:row r="8" ht="25" customHeight="1">
      <x:c r="A8" s="1" t="str">
        <x:v>每免费用户成本</x:v>
      </x:c>
      <x:c r="B8" s="8" t="n">
        <x:v>0.2</x:v>
      </x:c>
      <x:c r="C8" s="9"/>
      <x:c r="D8" s="9"/>
      <x:c r="E8" s="1"/>
      <x:c r="F8" s="1"/>
    </x:row>
    <x:row r="9" ht="25" customHeight="1">
      <x:c r="A9" s="1"/>
      <x:c r="B9" s="9"/>
      <x:c r="C9" s="9"/>
      <x:c r="D9" s="9"/>
      <x:c r="E9" s="1"/>
      <x:c r="F9" s="1"/>
    </x:row>
    <x:row r="10" ht="25" customHeight="1">
      <x:c r="A10" s="1"/>
      <x:c r="B10" s="9"/>
      <x:c r="C10" s="9"/>
      <x:c r="D10" s="9"/>
      <x:c r="E10" s="1"/>
      <x:c r="F10" s="1"/>
    </x:row>
    <x:row r="11" ht="25" customHeight="1">
      <x:c r="A11" s="1" t="str">
        <x:v>付费人数</x:v>
      </x:c>
      <x:c r="B11" s="9" t="n">
        <x:f>B4*B5</x:f>
        <x:v>30</x:v>
      </x:c>
      <x:c r="C11" s="9"/>
      <x:c r="D11" s="9"/>
      <x:c r="E11" s="1"/>
      <x:c r="F11" s="1"/>
    </x:row>
    <x:row r="12" ht="25" customHeight="1">
      <x:c r="A12" s="1" t="str">
        <x:v>月收入</x:v>
      </x:c>
      <x:c r="B12" s="9" t="n">
        <x:f>B11*B6</x:f>
        <x:v>300</x:v>
      </x:c>
      <x:c r="C12" s="9"/>
      <x:c r="D12" s="9"/>
      <x:c r="E12" s="1"/>
      <x:c r="F12" s="1"/>
    </x:row>
    <x:row r="13" ht="25" customHeight="1">
      <x:c r="A13" s="1" t="str">
        <x:v>付费用户成本</x:v>
      </x:c>
      <x:c r="B13" s="9" t="n">
        <x:f>B11*B7</x:f>
        <x:v>90</x:v>
      </x:c>
      <x:c r="C13" s="9"/>
      <x:c r="D13" s="9"/>
      <x:c r="E13" s="1"/>
      <x:c r="F13" s="1"/>
    </x:row>
    <x:row r="14" ht="25" customHeight="1">
      <x:c r="A14" s="1" t="str">
        <x:v>免费用户成本</x:v>
      </x:c>
      <x:c r="B14" s="9" t="n">
        <x:f>(B4-B11)*B8</x:f>
        <x:v>194</x:v>
      </x:c>
      <x:c r="C14" s="9"/>
      <x:c r="D14" s="9"/>
      <x:c r="E14" s="1"/>
      <x:c r="F14" s="1"/>
    </x:row>
    <x:row r="15" ht="25" customHeight="1">
      <x:c r="A15" s="1" t="str">
        <x:v>月贡献（固定及获客前）</x:v>
      </x:c>
      <x:c r="B15" s="9" t="n">
        <x:f>B12-B13-B14</x:f>
        <x:v>16</x:v>
      </x:c>
      <x:c r="C15" s="9"/>
      <x:c r="D15" s="9"/>
      <x:c r="E15" s="1"/>
      <x:c r="F15" s="1"/>
    </x:row>
    <x:row r="16" ht="25" customHeight="1">
      <x:c r="A16" s="1" t="str">
        <x:v>达到变动成本平衡的付费率</x:v>
      </x:c>
      <x:c r="B16" s="4" t="n">
        <x:f>IF(B6-B7+B8&gt;0,B8/(B6-B7+B8),"无解")</x:f>
        <x:v>0.02777777777777778</x:v>
      </x:c>
      <x:c r="C16" s="9"/>
      <x:c r="D16" s="9"/>
      <x:c r="E16" s="1"/>
      <x:c r="F16" s="1"/>
    </x:row>
    <x:row r="17" ht="25" customHeight="1">
      <x:c r="A17" s="1"/>
      <x:c r="B17" s="9"/>
      <x:c r="C17" s="9"/>
      <x:c r="D17" s="9"/>
      <x:c r="E17" s="1"/>
      <x:c r="F17" s="1"/>
    </x:row>
    <x:row r="18" ht="25" customHeight="1">
      <x:c r="A18" s="1"/>
      <x:c r="B18" s="9"/>
      <x:c r="C18" s="9"/>
      <x:c r="D18" s="9"/>
      <x:c r="E18" s="1"/>
      <x:c r="F18" s="1"/>
    </x:row>
    <x:row r="19" ht="25" customHeight="1">
      <x:c r="A19" s="1" t="str">
        <x:v>用途</x:v>
      </x:c>
      <x:c r="B19" s="9" t="str">
        <x:v>训练包/按次验证后再考虑订阅</x:v>
      </x:c>
      <x:c r="C19" s="9"/>
      <x:c r="D19" s="9"/>
      <x:c r="E19" s="1"/>
      <x:c r="F19" s="1"/>
    </x:row>
    <x:row r="20" ht="25" customHeight="1">
      <x:c r="A20" s="1" t="str">
        <x:v>未计</x:v>
      </x:c>
      <x:c r="B20" s="9" t="str">
        <x:v>个人线固定成本、获客、税费</x:v>
      </x:c>
      <x:c r="C20" s="9"/>
      <x:c r="D20" s="9"/>
      <x:c r="E20" s="1"/>
      <x:c r="F20" s="1"/>
    </x:row>
    <x:row r="21" ht="25" customHeight="1">
      <x:c r="A21" s="1" t="str">
        <x:v>来源</x:v>
      </x:c>
      <x:c r="B21" s="9" t="str">
        <x:v>作者假设；无已验证付费数据</x:v>
      </x:c>
      <x:c r="C21" s="9"/>
      <x:c r="D21" s="9"/>
      <x:c r="E21" s="1"/>
      <x:c r="F21" s="1"/>
    </x:row>
    <x:row r="22" ht="25" customHeight="1">
      <x:c r="A22" s="1"/>
      <x:c r="B22" s="9"/>
      <x:c r="C22" s="9"/>
      <x:c r="D22" s="9"/>
      <x:c r="E22" s="1"/>
      <x:c r="F22" s="1"/>
    </x:row>
    <x:row r="23" ht="25" customHeight="1">
      <x:c r="A23" s="1"/>
      <x:c r="B23" s="9"/>
      <x:c r="C23" s="9"/>
      <x:c r="D23" s="9"/>
      <x:c r="E23" s="1"/>
      <x:c r="F23" s="1"/>
    </x:row>
    <x:row r="24" ht="25" customHeight="1">
      <x:c r="A24" s="1"/>
      <x:c r="B24" s="9"/>
      <x:c r="C24" s="9"/>
      <x:c r="D24" s="9"/>
      <x:c r="E24" s="1"/>
      <x:c r="F24" s="1"/>
    </x:row>
    <x:row r="25" ht="25" customHeight="1">
      <x:c r="A25" s="1"/>
      <x:c r="B25" s="9"/>
      <x:c r="C25" s="9"/>
      <x:c r="D25" s="9"/>
      <x:c r="E25" s="1"/>
      <x:c r="F25" s="1"/>
    </x:row>
    <x:row r="26" ht="25" customHeight="1">
      <x:c r="A26" s="1"/>
      <x:c r="B26" s="1"/>
      <x:c r="C26" s="1"/>
      <x:c r="D26" s="1"/>
      <x:c r="E26" s="1"/>
      <x:c r="F26" s="1"/>
    </x:row>
    <x:row r="27" ht="25" customHeight="1">
      <x:c r="A27" s="1"/>
      <x:c r="B27" s="1"/>
      <x:c r="C27" s="1"/>
      <x:c r="D27" s="1"/>
      <x:c r="E27" s="1"/>
      <x:c r="F27" s="1"/>
    </x:row>
    <x:row r="28" ht="25" customHeight="1">
      <x:c r="A28" s="1"/>
      <x:c r="B28" s="1"/>
      <x:c r="C28" s="1"/>
      <x:c r="D28" s="1"/>
      <x:c r="E28" s="1"/>
      <x:c r="F28" s="1"/>
    </x:row>
    <x:row r="29" ht="25" customHeight="1">
      <x:c r="A29" s="1"/>
      <x:c r="B29" s="1"/>
      <x:c r="C29" s="1"/>
      <x:c r="D29" s="1"/>
      <x:c r="E29" s="1"/>
      <x:c r="F29" s="1"/>
    </x:row>
    <x:row r="30" ht="25" customHeight="1">
      <x:c r="A30" s="1"/>
      <x:c r="B30" s="1"/>
      <x:c r="C30" s="1"/>
      <x:c r="D30" s="1"/>
      <x:c r="E30" s="1"/>
      <x:c r="F30" s="1"/>
    </x:row>
    <x:row r="31" ht="25" customHeight="1">
      <x:c r="A31" s="1"/>
      <x:c r="B31" s="1"/>
      <x:c r="C31" s="1"/>
      <x:c r="D31" s="1"/>
      <x:c r="E31" s="1"/>
      <x:c r="F31" s="1"/>
    </x:row>
    <x:row r="32" ht="25" customHeight="1">
      <x:c r="A32" s="1"/>
      <x:c r="B32" s="1"/>
      <x:c r="C32" s="1"/>
      <x:c r="D32" s="1"/>
      <x:c r="E32" s="1"/>
      <x:c r="F32" s="1"/>
    </x:row>
    <x:row r="33" ht="25" customHeight="1">
      <x:c r="A33" s="1"/>
      <x:c r="B33" s="1"/>
      <x:c r="C33" s="1"/>
      <x:c r="D33" s="1"/>
      <x:c r="E33" s="1"/>
      <x:c r="F33" s="1"/>
    </x:row>
    <x:row r="34" ht="25" customHeight="1">
      <x:c r="A34" s="1"/>
      <x:c r="B34" s="1"/>
      <x:c r="C34" s="1"/>
      <x:c r="D34" s="1"/>
      <x:c r="E34" s="1"/>
      <x:c r="F34" s="1"/>
    </x:row>
    <x:row r="35" ht="25" customHeight="1">
      <x:c r="A35" s="1"/>
      <x:c r="B35" s="1"/>
      <x:c r="C35" s="1"/>
      <x:c r="D35" s="1"/>
      <x:c r="E35" s="1"/>
      <x:c r="F35" s="1"/>
    </x:row>
    <x:row r="36" ht="25" customHeight="1">
      <x:c r="A36" s="1"/>
      <x:c r="B36" s="1"/>
      <x:c r="C36" s="1"/>
      <x:c r="D36" s="1"/>
      <x:c r="E36" s="1"/>
      <x:c r="F36" s="1"/>
    </x:row>
    <x:row r="37" ht="25" customHeight="1">
      <x:c r="A37" s="1"/>
      <x:c r="B37" s="1"/>
      <x:c r="C37" s="1"/>
      <x:c r="D37" s="1"/>
      <x:c r="E37" s="1"/>
      <x:c r="F37" s="1"/>
    </x:row>
    <x:row r="38" ht="25" customHeight="1">
      <x:c r="A38" s="1"/>
      <x:c r="B38" s="1"/>
      <x:c r="C38" s="1"/>
      <x:c r="D38" s="1"/>
      <x:c r="E38" s="1"/>
      <x:c r="F38" s="1"/>
    </x:row>
    <x:row r="39" ht="25" customHeight="1">
      <x:c r="A39" s="1"/>
      <x:c r="B39" s="1"/>
      <x:c r="C39" s="1"/>
      <x:c r="D39" s="1"/>
      <x:c r="E39" s="1"/>
      <x:c r="F39" s="1"/>
    </x:row>
    <x:row r="40" ht="25" customHeight="1">
      <x:c r="A40" s="1"/>
      <x:c r="B40" s="1"/>
      <x:c r="C40" s="1"/>
      <x:c r="D40" s="1"/>
      <x:c r="E40" s="1"/>
      <x:c r="F40" s="1"/>
    </x:row>
    <x:row r="41" ht="25" customHeight="1">
      <x:c r="A41" s="1"/>
      <x:c r="B41" s="1"/>
      <x:c r="C41" s="1"/>
      <x:c r="D41" s="1"/>
      <x:c r="E41" s="1"/>
      <x:c r="F41" s="1"/>
    </x:row>
    <x:row r="42" ht="25" customHeight="1">
      <x:c r="A42" s="1"/>
      <x:c r="B42" s="1"/>
      <x:c r="C42" s="1"/>
      <x:c r="D42" s="1"/>
      <x:c r="E42" s="1"/>
      <x:c r="F42" s="1"/>
    </x:row>
    <x:row r="43" ht="25" customHeight="1">
      <x:c r="A43" s="1"/>
      <x:c r="B43" s="1"/>
      <x:c r="C43" s="1"/>
      <x:c r="D43" s="1"/>
      <x:c r="E43" s="1"/>
      <x:c r="F43" s="1"/>
    </x:row>
    <x:row r="44" ht="25" customHeight="1">
      <x:c r="A44" s="1"/>
      <x:c r="B44" s="1"/>
      <x:c r="C44" s="1"/>
      <x:c r="D44" s="1"/>
      <x:c r="E44" s="1"/>
      <x:c r="F44" s="1"/>
    </x:row>
    <x:row r="45" ht="25" customHeight="1">
      <x:c r="A45" s="1"/>
      <x:c r="B45" s="1"/>
      <x:c r="C45" s="1"/>
      <x:c r="D45" s="1"/>
      <x:c r="E45" s="1"/>
      <x:c r="F4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40" hidden="0" customWidth="1"/>
    <x:col min="6" max="6" width="40" hidden="0" customWidth="1"/>
  </x:cols>
  <x:sheetData>
    <x:row r="1" ht="25" customHeight="1">
      <x:c r="A1" s="7" t="str">
        <x:v>市场边界 · 人数</x:v>
      </x:c>
      <x:c r="B1" s="7" t="str">
        <x:v>下限情景</x:v>
      </x:c>
      <x:c r="C1" s="7" t="str">
        <x:v>中间情景</x:v>
      </x:c>
      <x:c r="D1" s="7" t="str">
        <x:v>上限情景</x:v>
      </x:c>
      <x:c r="E1" s="1"/>
      <x:c r="F1" s="1"/>
    </x:row>
    <x:row r="2" ht="25" customHeight="1">
      <x:c r="A2" s="1"/>
      <x:c r="B2" s="1"/>
      <x:c r="C2" s="1"/>
      <x:c r="D2" s="1"/>
      <x:c r="E2" s="1"/>
      <x:c r="F2" s="1"/>
    </x:row>
    <x:row r="3" ht="25" customHeight="1">
      <x:c r="A3" s="1"/>
      <x:c r="B3" s="1"/>
      <x:c r="C3" s="1"/>
      <x:c r="D3" s="1"/>
      <x:c r="E3" s="1"/>
      <x:c r="F3" s="1"/>
    </x:row>
    <x:row r="4" ht="25" customHeight="1">
      <x:c r="A4" s="1" t="str">
        <x:v>伦敦人口（约数）</x:v>
      </x:c>
      <x:c r="B4" s="9" t="n">
        <x:v>9100000</x:v>
      </x:c>
      <x:c r="C4" s="9" t="n">
        <x:v>9100000</x:v>
      </x:c>
      <x:c r="D4" s="9" t="n">
        <x:v>9100000</x:v>
      </x:c>
      <x:c r="E4" s="1"/>
      <x:c r="F4" s="1"/>
    </x:row>
    <x:row r="5" ht="25" customHeight="1">
      <x:c r="A5" s="1" t="str">
        <x:v>年度需求人口占比（假设）</x:v>
      </x:c>
      <x:c r="B5" s="5" t="n">
        <x:v>0.02</x:v>
      </x:c>
      <x:c r="C5" s="5" t="n">
        <x:v>0.05</x:v>
      </x:c>
      <x:c r="D5" s="5" t="n">
        <x:v>0.1</x:v>
      </x:c>
      <x:c r="E5" s="1"/>
      <x:c r="F5" s="1"/>
    </x:row>
    <x:row r="6" ht="25" customHeight="1">
      <x:c r="A6" s="1" t="str">
        <x:v>可服务比例（假设）</x:v>
      </x:c>
      <x:c r="B6" s="5" t="n">
        <x:v>0.1</x:v>
      </x:c>
      <x:c r="C6" s="5" t="n">
        <x:v>0.2</x:v>
      </x:c>
      <x:c r="D6" s="5" t="n">
        <x:v>0.3</x:v>
      </x:c>
      <x:c r="E6" s="1"/>
      <x:c r="F6" s="1"/>
    </x:row>
    <x:row r="7" ht="25" customHeight="1">
      <x:c r="A7" s="1"/>
      <x:c r="B7" s="9"/>
      <x:c r="C7" s="9"/>
      <x:c r="D7" s="9"/>
      <x:c r="E7" s="1"/>
      <x:c r="F7" s="1"/>
    </x:row>
    <x:row r="8" ht="25" customHeight="1">
      <x:c r="A8" s="1" t="str">
        <x:v>年度可服务人数情景</x:v>
      </x:c>
      <x:c r="B8" s="9" t="n">
        <x:f>B4*B5*B6</x:f>
        <x:v>18200</x:v>
      </x:c>
      <x:c r="C8" s="9" t="n">
        <x:f>C4*C5*C6</x:f>
        <x:v>91000</x:v>
      </x:c>
      <x:c r="D8" s="9" t="n">
        <x:f>D4*D5*D6</x:f>
        <x:v>273000</x:v>
      </x:c>
      <x:c r="E8" s="1"/>
      <x:c r="F8" s="1"/>
    </x:row>
    <x:row r="9" ht="25" customHeight="1">
      <x:c r="A9" s="1"/>
      <x:c r="B9" s="9"/>
      <x:c r="C9" s="9"/>
      <x:c r="D9" s="9"/>
      <x:c r="E9" s="1"/>
      <x:c r="F9" s="1"/>
    </x:row>
    <x:row r="10" ht="25" customHeight="1">
      <x:c r="A10" s="1" t="str">
        <x:v>每活跃用户年出席（假设）</x:v>
      </x:c>
      <x:c r="B10" s="9" t="n">
        <x:v>4</x:v>
      </x:c>
      <x:c r="C10" s="9" t="n">
        <x:v>4</x:v>
      </x:c>
      <x:c r="D10" s="9" t="n">
        <x:v>4</x:v>
      </x:c>
      <x:c r="E10" s="1"/>
      <x:c r="F10" s="1"/>
    </x:row>
    <x:row r="11" ht="25" customHeight="1">
      <x:c r="A11" s="1" t="str">
        <x:v>可收费出席比例（假设）</x:v>
      </x:c>
      <x:c r="B11" s="5" t="n">
        <x:v>0.5</x:v>
      </x:c>
      <x:c r="C11" s="5" t="n">
        <x:v>0.5</x:v>
      </x:c>
      <x:c r="D11" s="5" t="n">
        <x:v>0.5</x:v>
      </x:c>
      <x:c r="E11" s="1"/>
      <x:c r="F11" s="1"/>
    </x:row>
    <x:row r="12" ht="25" customHeight="1">
      <x:c r="A12" s="1"/>
      <x:c r="B12" s="9"/>
      <x:c r="C12" s="9"/>
      <x:c r="D12" s="9"/>
      <x:c r="E12" s="1"/>
      <x:c r="F12" s="1"/>
    </x:row>
    <x:row r="13" ht="25" customHeight="1">
      <x:c r="A13" s="1" t="str">
        <x:v>商家情景所需年活跃用户</x:v>
      </x:c>
      <x:c r="B13" s="9" t="n">
        <x:f>'商家模型'!B18/B10/B11</x:f>
        <x:v>480</x:v>
      </x:c>
      <x:c r="C13" s="9" t="n">
        <x:f>'商家模型'!C18/C10/C11</x:f>
        <x:v>4320</x:v>
      </x:c>
      <x:c r="D13" s="9" t="n">
        <x:f>'商家模型'!D18/D10/D11</x:f>
        <x:v>144000</x:v>
      </x:c>
      <x:c r="E13" s="1"/>
      <x:c r="F13" s="1"/>
    </x:row>
    <x:row r="14" ht="25" customHeight="1">
      <x:c r="A14" s="1"/>
      <x:c r="B14" s="9"/>
      <x:c r="C14" s="9"/>
      <x:c r="D14" s="9"/>
      <x:c r="E14" s="1"/>
      <x:c r="F14" s="1"/>
    </x:row>
    <x:row r="15" ht="25" customHeight="1">
      <x:c r="A15" s="1"/>
      <x:c r="B15" s="9"/>
      <x:c r="C15" s="9"/>
      <x:c r="D15" s="9"/>
      <x:c r="E15" s="1"/>
      <x:c r="F15" s="1"/>
    </x:row>
    <x:row r="16" ht="25" customHeight="1">
      <x:c r="A16" s="1" t="str">
        <x:v>来源</x:v>
      </x:c>
      <x:c r="B16" s="9" t="str">
        <x:v>GLA State of London，2026-07</x:v>
      </x:c>
      <x:c r="C16" s="9"/>
      <x:c r="D16" s="9"/>
      <x:c r="E16" s="1"/>
      <x:c r="F16" s="1"/>
    </x:row>
    <x:row r="17" ht="25" customHeight="1">
      <x:c r="A17" s="1" t="str">
        <x:v>链接</x:v>
      </x:c>
      <x:c r="B17" s="9" t="str">
        <x:v>https://data.london.gov.uk/blog/state-of-london</x:v>
      </x:c>
      <x:c r="C17" s="9"/>
      <x:c r="D17" s="9"/>
      <x:c r="E17" s="1"/>
      <x:c r="F17" s="1"/>
    </x:row>
    <x:row r="18" ht="25" customHeight="1">
      <x:c r="A18" s="1" t="str">
        <x:v>解释</x:v>
      </x:c>
      <x:c r="B18" s="9" t="str">
        <x:v>不是测得的 TAM/SAM/SOM，不是预测</x:v>
      </x:c>
      <x:c r="C18" s="9"/>
      <x:c r="D18" s="9"/>
      <x:c r="E18" s="1"/>
      <x:c r="F18" s="1"/>
    </x:row>
    <x:row r="19" ht="25" customHeight="1">
      <x:c r="A19" s="1" t="str">
        <x:v>人口占比</x:v>
      </x:c>
      <x:c r="B19" s="9" t="str">
        <x:v>含成人需求，未再乘年龄；不混入游客或学生</x:v>
      </x:c>
      <x:c r="C19" s="9"/>
      <x:c r="D19" s="9"/>
      <x:c r="E19" s="1"/>
      <x:c r="F19" s="1"/>
    </x:row>
    <x:row r="20" ht="25" customHeight="1">
      <x:c r="A20" s="1"/>
      <x:c r="B20" s="9"/>
      <x:c r="C20" s="9"/>
      <x:c r="D20" s="9"/>
      <x:c r="E20" s="1"/>
      <x:c r="F20" s="1"/>
    </x:row>
    <x:row r="21" ht="25" customHeight="1">
      <x:c r="A21" s="1"/>
      <x:c r="B21" s="9"/>
      <x:c r="C21" s="9"/>
      <x:c r="D21" s="9"/>
      <x:c r="E21" s="1"/>
      <x:c r="F21" s="1"/>
    </x:row>
    <x:row r="22" ht="25" customHeight="1">
      <x:c r="A22" s="1"/>
      <x:c r="B22" s="9"/>
      <x:c r="C22" s="9"/>
      <x:c r="D22" s="9"/>
      <x:c r="E22" s="1"/>
      <x:c r="F22" s="1"/>
    </x:row>
    <x:row r="23" ht="25" customHeight="1">
      <x:c r="A23" s="1"/>
      <x:c r="B23" s="9"/>
      <x:c r="C23" s="9"/>
      <x:c r="D23" s="9"/>
      <x:c r="E23" s="1"/>
      <x:c r="F23" s="1"/>
    </x:row>
    <x:row r="24" ht="25" customHeight="1">
      <x:c r="A24" s="1"/>
      <x:c r="B24" s="9"/>
      <x:c r="C24" s="9"/>
      <x:c r="D24" s="9"/>
      <x:c r="E24" s="1"/>
      <x:c r="F24" s="1"/>
    </x:row>
    <x:row r="25" ht="25" customHeight="1">
      <x:c r="A25" s="1"/>
      <x:c r="B25" s="9"/>
      <x:c r="C25" s="9"/>
      <x:c r="D25" s="9"/>
      <x:c r="E25" s="1"/>
      <x:c r="F25" s="1"/>
    </x:row>
    <x:row r="26" ht="25" customHeight="1">
      <x:c r="A26" s="1"/>
      <x:c r="B26" s="1"/>
      <x:c r="C26" s="1"/>
      <x:c r="D26" s="1"/>
      <x:c r="E26" s="1"/>
      <x:c r="F26" s="1"/>
    </x:row>
    <x:row r="27" ht="25" customHeight="1">
      <x:c r="A27" s="1"/>
      <x:c r="B27" s="1"/>
      <x:c r="C27" s="1"/>
      <x:c r="D27" s="1"/>
      <x:c r="E27" s="1"/>
      <x:c r="F27" s="1"/>
    </x:row>
    <x:row r="28" ht="25" customHeight="1">
      <x:c r="A28" s="1"/>
      <x:c r="B28" s="1"/>
      <x:c r="C28" s="1"/>
      <x:c r="D28" s="1"/>
      <x:c r="E28" s="1"/>
      <x:c r="F28" s="1"/>
    </x:row>
    <x:row r="29" ht="25" customHeight="1">
      <x:c r="A29" s="1"/>
      <x:c r="B29" s="1"/>
      <x:c r="C29" s="1"/>
      <x:c r="D29" s="1"/>
      <x:c r="E29" s="1"/>
      <x:c r="F29" s="1"/>
    </x:row>
    <x:row r="30" ht="25" customHeight="1">
      <x:c r="A30" s="1"/>
      <x:c r="B30" s="1"/>
      <x:c r="C30" s="1"/>
      <x:c r="D30" s="1"/>
      <x:c r="E30" s="1"/>
      <x:c r="F30" s="1"/>
    </x:row>
    <x:row r="31" ht="25" customHeight="1">
      <x:c r="A31" s="1"/>
      <x:c r="B31" s="1"/>
      <x:c r="C31" s="1"/>
      <x:c r="D31" s="1"/>
      <x:c r="E31" s="1"/>
      <x:c r="F31" s="1"/>
    </x:row>
    <x:row r="32" ht="25" customHeight="1">
      <x:c r="A32" s="1"/>
      <x:c r="B32" s="1"/>
      <x:c r="C32" s="1"/>
      <x:c r="D32" s="1"/>
      <x:c r="E32" s="1"/>
      <x:c r="F32" s="1"/>
    </x:row>
    <x:row r="33" ht="25" customHeight="1">
      <x:c r="A33" s="1"/>
      <x:c r="B33" s="1"/>
      <x:c r="C33" s="1"/>
      <x:c r="D33" s="1"/>
      <x:c r="E33" s="1"/>
      <x:c r="F33" s="1"/>
    </x:row>
    <x:row r="34" ht="25" customHeight="1">
      <x:c r="A34" s="1"/>
      <x:c r="B34" s="1"/>
      <x:c r="C34" s="1"/>
      <x:c r="D34" s="1"/>
      <x:c r="E34" s="1"/>
      <x:c r="F34" s="1"/>
    </x:row>
    <x:row r="35" ht="25" customHeight="1">
      <x:c r="A35" s="1"/>
      <x:c r="B35" s="1"/>
      <x:c r="C35" s="1"/>
      <x:c r="D35" s="1"/>
      <x:c r="E35" s="1"/>
      <x:c r="F35" s="1"/>
    </x:row>
    <x:row r="36" ht="25" customHeight="1">
      <x:c r="A36" s="1"/>
      <x:c r="B36" s="1"/>
      <x:c r="C36" s="1"/>
      <x:c r="D36" s="1"/>
      <x:c r="E36" s="1"/>
      <x:c r="F36" s="1"/>
    </x:row>
    <x:row r="37" ht="25" customHeight="1">
      <x:c r="A37" s="1"/>
      <x:c r="B37" s="1"/>
      <x:c r="C37" s="1"/>
      <x:c r="D37" s="1"/>
      <x:c r="E37" s="1"/>
      <x:c r="F37" s="1"/>
    </x:row>
    <x:row r="38" ht="25" customHeight="1">
      <x:c r="A38" s="1"/>
      <x:c r="B38" s="1"/>
      <x:c r="C38" s="1"/>
      <x:c r="D38" s="1"/>
      <x:c r="E38" s="1"/>
      <x:c r="F38" s="1"/>
    </x:row>
    <x:row r="39" ht="25" customHeight="1">
      <x:c r="A39" s="1"/>
      <x:c r="B39" s="1"/>
      <x:c r="C39" s="1"/>
      <x:c r="D39" s="1"/>
      <x:c r="E39" s="1"/>
      <x:c r="F39" s="1"/>
    </x:row>
    <x:row r="40" ht="25" customHeight="1">
      <x:c r="A40" s="1"/>
      <x:c r="B40" s="1"/>
      <x:c r="C40" s="1"/>
      <x:c r="D40" s="1"/>
      <x:c r="E40" s="1"/>
      <x:c r="F40" s="1"/>
    </x:row>
    <x:row r="41" ht="25" customHeight="1">
      <x:c r="A41" s="1"/>
      <x:c r="B41" s="1"/>
      <x:c r="C41" s="1"/>
      <x:c r="D41" s="1"/>
      <x:c r="E41" s="1"/>
      <x:c r="F41" s="1"/>
    </x:row>
    <x:row r="42" ht="25" customHeight="1">
      <x:c r="A42" s="1"/>
      <x:c r="B42" s="1"/>
      <x:c r="C42" s="1"/>
      <x:c r="D42" s="1"/>
      <x:c r="E42" s="1"/>
      <x:c r="F42" s="1"/>
    </x:row>
    <x:row r="43" ht="25" customHeight="1">
      <x:c r="A43" s="1"/>
      <x:c r="B43" s="1"/>
      <x:c r="C43" s="1"/>
      <x:c r="D43" s="1"/>
      <x:c r="E43" s="1"/>
      <x:c r="F43" s="1"/>
    </x:row>
    <x:row r="44" ht="25" customHeight="1">
      <x:c r="A44" s="1"/>
      <x:c r="B44" s="1"/>
      <x:c r="C44" s="1"/>
      <x:c r="D44" s="1"/>
      <x:c r="E44" s="1"/>
      <x:c r="F44" s="1"/>
    </x:row>
    <x:row r="45" ht="25" customHeight="1">
      <x:c r="A45" s="1"/>
      <x:c r="B45" s="1"/>
      <x:c r="C45" s="1"/>
      <x:c r="D45" s="1"/>
      <x:c r="E45" s="1"/>
      <x:c r="F4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40" hidden="0" customWidth="1"/>
    <x:col min="6" max="6" width="40" hidden="0" customWidth="1"/>
  </x:cols>
  <x:sheetData>
    <x:row r="1" ht="25" customHeight="1">
      <x:c r="A1" s="7" t="str">
        <x:v>基准每场贡献敏感性 GBP</x:v>
      </x:c>
      <x:c r="B1" s="7" t="str">
        <x:v>到店费 £3</x:v>
      </x:c>
      <x:c r="C1" s="7" t="str">
        <x:v>到店费 £4</x:v>
      </x:c>
      <x:c r="D1" s="7" t="str">
        <x:v>到店费 £5</x:v>
      </x:c>
      <x:c r="E1" s="1"/>
      <x:c r="F1" s="1"/>
    </x:row>
    <x:row r="2" ht="25" customHeight="1">
      <x:c r="A2" s="1"/>
      <x:c r="B2" s="1"/>
      <x:c r="C2" s="1"/>
      <x:c r="D2" s="1"/>
      <x:c r="E2" s="1"/>
      <x:c r="F2" s="1"/>
    </x:row>
    <x:row r="3" ht="25" customHeight="1">
      <x:c r="A3" s="1"/>
      <x:c r="B3" s="1" t="n">
        <x:v>3</x:v>
      </x:c>
      <x:c r="C3" s="1" t="n">
        <x:v>4</x:v>
      </x:c>
      <x:c r="D3" s="1" t="n">
        <x:v>5</x:v>
      </x:c>
      <x:c r="E3" s="1"/>
      <x:c r="F3" s="1"/>
    </x:row>
    <x:row r="4" ht="25" customHeight="1">
      <x:c r="A4" s="1" t="n">
        <x:v>8</x:v>
      </x:c>
      <x:c r="B4" s="9" t="n">
        <x:f>$A4*(B$3-'商家模型'!$C$9)-'商家模型'!$C$8</x:f>
        <x:v>-5.800000000000001</x:v>
      </x:c>
      <x:c r="C4" s="9" t="n">
        <x:f>$A4*(C$3-'商家模型'!$C$9)-'商家模型'!$C$8</x:f>
        <x:v>2.1999999999999993</x:v>
      </x:c>
      <x:c r="D4" s="9" t="n">
        <x:f>$A4*(D$3-'商家模型'!$C$9)-'商家模型'!$C$8</x:f>
        <x:v>10.200000000000003</x:v>
      </x:c>
      <x:c r="E4" s="1"/>
      <x:c r="F4" s="1"/>
    </x:row>
    <x:row r="5" ht="25" customHeight="1">
      <x:c r="A5" s="1" t="n">
        <x:v>12</x:v>
      </x:c>
      <x:c r="B5" s="9" t="n">
        <x:f>$A5*(B$3-'商家模型'!$C$9)-'商家模型'!$C$8</x:f>
        <x:v>3.799999999999997</x:v>
      </x:c>
      <x:c r="C5" s="9" t="n">
        <x:f>$A5*(C$3-'商家模型'!$C$9)-'商家模型'!$C$8</x:f>
        <x:v>15.799999999999997</x:v>
      </x:c>
      <x:c r="D5" s="9" t="n">
        <x:f>$A5*(D$3-'商家模型'!$C$9)-'商家模型'!$C$8</x:f>
        <x:v>27.800000000000004</x:v>
      </x:c>
      <x:c r="E5" s="1"/>
      <x:c r="F5" s="1"/>
    </x:row>
    <x:row r="6" ht="25" customHeight="1">
      <x:c r="A6" s="1" t="n">
        <x:v>20</x:v>
      </x:c>
      <x:c r="B6" s="9" t="n">
        <x:f>$A6*(B$3-'商家模型'!$C$9)-'商家模型'!$C$8</x:f>
        <x:v>23</x:v>
      </x:c>
      <x:c r="C6" s="9" t="n">
        <x:f>$A6*(C$3-'商家模型'!$C$9)-'商家模型'!$C$8</x:f>
        <x:v>43</x:v>
      </x:c>
      <x:c r="D6" s="9" t="n">
        <x:f>$A6*(D$3-'商家模型'!$C$9)-'商家模型'!$C$8</x:f>
        <x:v>63</x:v>
      </x:c>
      <x:c r="E6" s="1"/>
      <x:c r="F6" s="1"/>
    </x:row>
    <x:row r="7" ht="25" customHeight="1">
      <x:c r="A7" s="1"/>
      <x:c r="B7" s="9"/>
      <x:c r="C7" s="9"/>
      <x:c r="D7" s="9"/>
      <x:c r="E7" s="1"/>
      <x:c r="F7" s="1"/>
    </x:row>
    <x:row r="8" ht="25" customHeight="1">
      <x:c r="A8" s="1"/>
      <x:c r="B8" s="9"/>
      <x:c r="C8" s="9"/>
      <x:c r="D8" s="9"/>
      <x:c r="E8" s="1"/>
      <x:c r="F8" s="1"/>
    </x:row>
    <x:row r="9" ht="25" customHeight="1">
      <x:c r="A9" s="1" t="str">
        <x:v>说明</x:v>
      </x:c>
      <x:c r="B9" s="9" t="str">
        <x:v>行是每场到店人数，列是单价</x:v>
      </x:c>
      <x:c r="C9" s="9"/>
      <x:c r="D9" s="9"/>
      <x:c r="E9" s="1"/>
      <x:c r="F9" s="1"/>
    </x:row>
    <x:row r="10" ht="25" customHeight="1">
      <x:c r="A10" s="1" t="str">
        <x:v>成本来源</x:v>
      </x:c>
      <x:c r="B10" s="9" t="str">
        <x:v>商家模型局部基准人工及其他成本</x:v>
      </x:c>
      <x:c r="C10" s="9"/>
      <x:c r="D10" s="9"/>
      <x:c r="E10" s="1"/>
      <x:c r="F10" s="1"/>
    </x:row>
    <x:row r="11" ht="25" customHeight="1">
      <x:c r="A11" s="1" t="str">
        <x:v>边界</x:v>
      </x:c>
      <x:c r="B11" s="9" t="str">
        <x:v>固定与获客前；非原生What-If数据表</x:v>
      </x:c>
      <x:c r="C11" s="9"/>
      <x:c r="D11" s="9"/>
      <x:c r="E11" s="1"/>
      <x:c r="F11" s="1"/>
    </x:row>
    <x:row r="12" ht="25" customHeight="1">
      <x:c r="A12" s="1"/>
      <x:c r="B12" s="9"/>
      <x:c r="C12" s="9"/>
      <x:c r="D12" s="9"/>
      <x:c r="E12" s="1"/>
      <x:c r="F12" s="1"/>
    </x:row>
    <x:row r="13" ht="25" customHeight="1">
      <x:c r="A13" s="1"/>
      <x:c r="B13" s="9"/>
      <x:c r="C13" s="9"/>
      <x:c r="D13" s="9"/>
      <x:c r="E13" s="1"/>
      <x:c r="F13" s="1"/>
    </x:row>
    <x:row r="14" ht="25" customHeight="1">
      <x:c r="A14" s="1"/>
      <x:c r="B14" s="9"/>
      <x:c r="C14" s="9"/>
      <x:c r="D14" s="9"/>
      <x:c r="E14" s="1"/>
      <x:c r="F14" s="1"/>
    </x:row>
    <x:row r="15" ht="25" customHeight="1">
      <x:c r="A15" s="1"/>
      <x:c r="B15" s="9"/>
      <x:c r="C15" s="9"/>
      <x:c r="D15" s="9"/>
      <x:c r="E15" s="1"/>
      <x:c r="F15" s="1"/>
    </x:row>
    <x:row r="16" ht="25" customHeight="1">
      <x:c r="A16" s="1"/>
      <x:c r="B16" s="9"/>
      <x:c r="C16" s="9"/>
      <x:c r="D16" s="9"/>
      <x:c r="E16" s="1"/>
      <x:c r="F16" s="1"/>
    </x:row>
    <x:row r="17" ht="25" customHeight="1">
      <x:c r="A17" s="1"/>
      <x:c r="B17" s="9"/>
      <x:c r="C17" s="9"/>
      <x:c r="D17" s="9"/>
      <x:c r="E17" s="1"/>
      <x:c r="F17" s="1"/>
    </x:row>
    <x:row r="18" ht="25" customHeight="1">
      <x:c r="A18" s="1"/>
      <x:c r="B18" s="9"/>
      <x:c r="C18" s="9"/>
      <x:c r="D18" s="9"/>
      <x:c r="E18" s="1"/>
      <x:c r="F18" s="1"/>
    </x:row>
    <x:row r="19" ht="25" customHeight="1">
      <x:c r="A19" s="1"/>
      <x:c r="B19" s="9"/>
      <x:c r="C19" s="9"/>
      <x:c r="D19" s="9"/>
      <x:c r="E19" s="1"/>
      <x:c r="F19" s="1"/>
    </x:row>
    <x:row r="20" ht="25" customHeight="1">
      <x:c r="A20" s="1"/>
      <x:c r="B20" s="9"/>
      <x:c r="C20" s="9"/>
      <x:c r="D20" s="9"/>
      <x:c r="E20" s="1"/>
      <x:c r="F20" s="1"/>
    </x:row>
    <x:row r="21" ht="25" customHeight="1">
      <x:c r="A21" s="1"/>
      <x:c r="B21" s="9"/>
      <x:c r="C21" s="9"/>
      <x:c r="D21" s="9"/>
      <x:c r="E21" s="1"/>
      <x:c r="F21" s="1"/>
    </x:row>
    <x:row r="22" ht="25" customHeight="1">
      <x:c r="A22" s="1"/>
      <x:c r="B22" s="9"/>
      <x:c r="C22" s="9"/>
      <x:c r="D22" s="9"/>
      <x:c r="E22" s="1"/>
      <x:c r="F22" s="1"/>
    </x:row>
    <x:row r="23" ht="25" customHeight="1">
      <x:c r="A23" s="1"/>
      <x:c r="B23" s="9"/>
      <x:c r="C23" s="9"/>
      <x:c r="D23" s="9"/>
      <x:c r="E23" s="1"/>
      <x:c r="F23" s="1"/>
    </x:row>
    <x:row r="24" ht="25" customHeight="1">
      <x:c r="A24" s="1"/>
      <x:c r="B24" s="9"/>
      <x:c r="C24" s="9"/>
      <x:c r="D24" s="9"/>
      <x:c r="E24" s="1"/>
      <x:c r="F24" s="1"/>
    </x:row>
    <x:row r="25" ht="25" customHeight="1">
      <x:c r="A25" s="1"/>
      <x:c r="B25" s="9"/>
      <x:c r="C25" s="9"/>
      <x:c r="D25" s="9"/>
      <x:c r="E25" s="1"/>
      <x:c r="F25" s="1"/>
    </x:row>
    <x:row r="26" ht="25" customHeight="1">
      <x:c r="A26" s="1"/>
      <x:c r="B26" s="1"/>
      <x:c r="C26" s="1"/>
      <x:c r="D26" s="1"/>
      <x:c r="E26" s="1"/>
      <x:c r="F26" s="1"/>
    </x:row>
    <x:row r="27" ht="25" customHeight="1">
      <x:c r="A27" s="1"/>
      <x:c r="B27" s="1"/>
      <x:c r="C27" s="1"/>
      <x:c r="D27" s="1"/>
      <x:c r="E27" s="1"/>
      <x:c r="F27" s="1"/>
    </x:row>
    <x:row r="28" ht="25" customHeight="1">
      <x:c r="A28" s="1"/>
      <x:c r="B28" s="1"/>
      <x:c r="C28" s="1"/>
      <x:c r="D28" s="1"/>
      <x:c r="E28" s="1"/>
      <x:c r="F28" s="1"/>
    </x:row>
    <x:row r="29" ht="25" customHeight="1">
      <x:c r="A29" s="1"/>
      <x:c r="B29" s="1"/>
      <x:c r="C29" s="1"/>
      <x:c r="D29" s="1"/>
      <x:c r="E29" s="1"/>
      <x:c r="F29" s="1"/>
    </x:row>
    <x:row r="30" ht="25" customHeight="1">
      <x:c r="A30" s="1"/>
      <x:c r="B30" s="1"/>
      <x:c r="C30" s="1"/>
      <x:c r="D30" s="1"/>
      <x:c r="E30" s="1"/>
      <x:c r="F30" s="1"/>
    </x:row>
    <x:row r="31" ht="25" customHeight="1">
      <x:c r="A31" s="1"/>
      <x:c r="B31" s="1"/>
      <x:c r="C31" s="1"/>
      <x:c r="D31" s="1"/>
      <x:c r="E31" s="1"/>
      <x:c r="F31" s="1"/>
    </x:row>
    <x:row r="32" ht="25" customHeight="1">
      <x:c r="A32" s="1"/>
      <x:c r="B32" s="1"/>
      <x:c r="C32" s="1"/>
      <x:c r="D32" s="1"/>
      <x:c r="E32" s="1"/>
      <x:c r="F32" s="1"/>
    </x:row>
    <x:row r="33" ht="25" customHeight="1">
      <x:c r="A33" s="1"/>
      <x:c r="B33" s="1"/>
      <x:c r="C33" s="1"/>
      <x:c r="D33" s="1"/>
      <x:c r="E33" s="1"/>
      <x:c r="F33" s="1"/>
    </x:row>
    <x:row r="34" ht="25" customHeight="1">
      <x:c r="A34" s="1"/>
      <x:c r="B34" s="1"/>
      <x:c r="C34" s="1"/>
      <x:c r="D34" s="1"/>
      <x:c r="E34" s="1"/>
      <x:c r="F34" s="1"/>
    </x:row>
    <x:row r="35" ht="25" customHeight="1">
      <x:c r="A35" s="1"/>
      <x:c r="B35" s="1"/>
      <x:c r="C35" s="1"/>
      <x:c r="D35" s="1"/>
      <x:c r="E35" s="1"/>
      <x:c r="F35" s="1"/>
    </x:row>
    <x:row r="36" ht="25" customHeight="1">
      <x:c r="A36" s="1"/>
      <x:c r="B36" s="1"/>
      <x:c r="C36" s="1"/>
      <x:c r="D36" s="1"/>
      <x:c r="E36" s="1"/>
      <x:c r="F36" s="1"/>
    </x:row>
    <x:row r="37" ht="25" customHeight="1">
      <x:c r="A37" s="1"/>
      <x:c r="B37" s="1"/>
      <x:c r="C37" s="1"/>
      <x:c r="D37" s="1"/>
      <x:c r="E37" s="1"/>
      <x:c r="F37" s="1"/>
    </x:row>
    <x:row r="38" ht="25" customHeight="1">
      <x:c r="A38" s="1"/>
      <x:c r="B38" s="1"/>
      <x:c r="C38" s="1"/>
      <x:c r="D38" s="1"/>
      <x:c r="E38" s="1"/>
      <x:c r="F38" s="1"/>
    </x:row>
    <x:row r="39" ht="25" customHeight="1">
      <x:c r="A39" s="1"/>
      <x:c r="B39" s="1"/>
      <x:c r="C39" s="1"/>
      <x:c r="D39" s="1"/>
      <x:c r="E39" s="1"/>
      <x:c r="F39" s="1"/>
    </x:row>
    <x:row r="40" ht="25" customHeight="1">
      <x:c r="A40" s="1"/>
      <x:c r="B40" s="1"/>
      <x:c r="C40" s="1"/>
      <x:c r="D40" s="1"/>
      <x:c r="E40" s="1"/>
      <x:c r="F40" s="1"/>
    </x:row>
    <x:row r="41" ht="25" customHeight="1">
      <x:c r="A41" s="1"/>
      <x:c r="B41" s="1"/>
      <x:c r="C41" s="1"/>
      <x:c r="D41" s="1"/>
      <x:c r="E41" s="1"/>
      <x:c r="F41" s="1"/>
    </x:row>
    <x:row r="42" ht="25" customHeight="1">
      <x:c r="A42" s="1"/>
      <x:c r="B42" s="1"/>
      <x:c r="C42" s="1"/>
      <x:c r="D42" s="1"/>
      <x:c r="E42" s="1"/>
      <x:c r="F42" s="1"/>
    </x:row>
    <x:row r="43" ht="25" customHeight="1">
      <x:c r="A43" s="1"/>
      <x:c r="B43" s="1"/>
      <x:c r="C43" s="1"/>
      <x:c r="D43" s="1"/>
      <x:c r="E43" s="1"/>
      <x:c r="F43" s="1"/>
    </x:row>
    <x:row r="44" ht="25" customHeight="1">
      <x:c r="A44" s="1"/>
      <x:c r="B44" s="1"/>
      <x:c r="C44" s="1"/>
      <x:c r="D44" s="1"/>
      <x:c r="E44" s="1"/>
      <x:c r="F44" s="1"/>
    </x:row>
    <x:row r="45" ht="25" customHeight="1">
      <x:c r="A45" s="1"/>
      <x:c r="B45" s="1"/>
      <x:c r="C45" s="1"/>
      <x:c r="D45" s="1"/>
      <x:c r="E45" s="1"/>
      <x:c r="F45" s="1"/>
    </x:row>
  </x:sheetData>
  <x:pageMargins left="0.7" right="0.7" top="0.75" bottom="0.75" header="0.3" footer="0.3"/>
</x:worksheet>
</file>